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CHINE\Documents\"/>
    </mc:Choice>
  </mc:AlternateContent>
  <bookViews>
    <workbookView xWindow="0" yWindow="0" windowWidth="23040" windowHeight="10332"/>
  </bookViews>
  <sheets>
    <sheet name="MEDICAL CENTRE" sheetId="1" r:id="rId1"/>
    <sheet name="Sheet1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4" i="1" l="1"/>
  <c r="H14" i="1"/>
  <c r="G13" i="1"/>
  <c r="H13" i="1" s="1"/>
  <c r="H6" i="1"/>
  <c r="H7" i="1"/>
  <c r="H8" i="1"/>
  <c r="H9" i="1"/>
  <c r="H10" i="1"/>
  <c r="H11" i="1"/>
  <c r="H12" i="1"/>
  <c r="G5" i="1"/>
  <c r="G12" i="1"/>
  <c r="G11" i="1"/>
  <c r="G10" i="1"/>
  <c r="G9" i="1"/>
  <c r="G8" i="1"/>
  <c r="H5" i="1"/>
  <c r="G7" i="1" l="1"/>
  <c r="G6" i="1"/>
</calcChain>
</file>

<file path=xl/sharedStrings.xml><?xml version="1.0" encoding="utf-8"?>
<sst xmlns="http://schemas.openxmlformats.org/spreadsheetml/2006/main" count="106" uniqueCount="102">
  <si>
    <t xml:space="preserve">LEE CREST MEDICAL CENTRE  </t>
  </si>
  <si>
    <t xml:space="preserve">CYBERSECURITY RISK ASSESSMENT REGISTER </t>
  </si>
  <si>
    <t>RISK ID</t>
  </si>
  <si>
    <t>ASSET</t>
  </si>
  <si>
    <t>R001</t>
  </si>
  <si>
    <t>R002</t>
  </si>
  <si>
    <t>R003</t>
  </si>
  <si>
    <t>Threat</t>
  </si>
  <si>
    <t>Vulnerability</t>
  </si>
  <si>
    <t xml:space="preserve">Weak Passwords </t>
  </si>
  <si>
    <t xml:space="preserve">Outdated Software and lack of Regular Updates </t>
  </si>
  <si>
    <t>Poor Network Security Control</t>
  </si>
  <si>
    <t>Unauthorized Access to Patients Record</t>
  </si>
  <si>
    <t>Ransomware Attack</t>
  </si>
  <si>
    <t xml:space="preserve">Unauthorized Access to Patients Record </t>
  </si>
  <si>
    <t>Hospital Computers</t>
  </si>
  <si>
    <t>Hospital Network</t>
  </si>
  <si>
    <t>Patients Record</t>
  </si>
  <si>
    <t>Enforce strong passwords and multi-factor authentication (MFA)</t>
  </si>
  <si>
    <t>Recommended Control</t>
  </si>
  <si>
    <t>Maintain Secure Backups, update software regularly, and use endpoint protection</t>
  </si>
  <si>
    <t>Use a firewall, restrict network  access and monitor network activity</t>
  </si>
  <si>
    <t>Risk rating</t>
  </si>
  <si>
    <t>Risk Score</t>
  </si>
  <si>
    <t>Impact</t>
  </si>
  <si>
    <t>Likelihood</t>
  </si>
  <si>
    <t>LEE CREST MEDICAL CENTRE</t>
  </si>
  <si>
    <t>RISK SCORING METHODOLOGY</t>
  </si>
  <si>
    <t>Score</t>
  </si>
  <si>
    <t>Rare</t>
  </si>
  <si>
    <t>Unlikely</t>
  </si>
  <si>
    <t>Possible</t>
  </si>
  <si>
    <t>Likely</t>
  </si>
  <si>
    <t>Almost certain</t>
  </si>
  <si>
    <t>Negligible disruption</t>
  </si>
  <si>
    <t>Minor disruption</t>
  </si>
  <si>
    <t>Moderate disruption</t>
  </si>
  <si>
    <t>Major disruption</t>
  </si>
  <si>
    <t xml:space="preserve">Severe disruption, potentially affecting patient's care </t>
  </si>
  <si>
    <t>RISK CALCULATION AND RATING</t>
  </si>
  <si>
    <t>1 to 5</t>
  </si>
  <si>
    <t>Low</t>
  </si>
  <si>
    <t>6 to 12</t>
  </si>
  <si>
    <t>Medium</t>
  </si>
  <si>
    <t>13 to 19</t>
  </si>
  <si>
    <t>High</t>
  </si>
  <si>
    <t>20 to 25</t>
  </si>
  <si>
    <t>Critical</t>
  </si>
  <si>
    <t>LIKELIHOOD * IMPACT</t>
  </si>
  <si>
    <t>RISK SCORE FORMULA</t>
  </si>
  <si>
    <t>ASSESSMENT METHODOLOGY</t>
  </si>
  <si>
    <t>Assessment Approach</t>
  </si>
  <si>
    <t xml:space="preserve">hypothetical cybersecurity risk assessment bases on stated assumptions </t>
  </si>
  <si>
    <t>Framework</t>
  </si>
  <si>
    <t xml:space="preserve">NIST CSF 2.0 </t>
  </si>
  <si>
    <t xml:space="preserve">Assessment Period </t>
  </si>
  <si>
    <t xml:space="preserve">12 months </t>
  </si>
  <si>
    <t>Risk Identification</t>
  </si>
  <si>
    <t xml:space="preserve">Identify Information assets, potential threats, and vulnerabilities </t>
  </si>
  <si>
    <t>Risk Evaluation</t>
  </si>
  <si>
    <t>Calculate risk scores and classify risks as Low, Medium, High, or Critical</t>
  </si>
  <si>
    <t xml:space="preserve">Risk treatment </t>
  </si>
  <si>
    <t>Recommend controls to reduce likelihood, impact,or both</t>
  </si>
  <si>
    <t>Limitations</t>
  </si>
  <si>
    <t xml:space="preserve">No actual hospital inspection, staff interviews, system testing, or verification of security controls was conducted </t>
  </si>
  <si>
    <t xml:space="preserve">Risk analysis </t>
  </si>
  <si>
    <t>Assess likelihood and impact using the defined scoring criterias</t>
  </si>
  <si>
    <t>R004</t>
  </si>
  <si>
    <t xml:space="preserve">Patient Records </t>
  </si>
  <si>
    <t xml:space="preserve">Loss of patient data </t>
  </si>
  <si>
    <t>Backups are missing, outdated, or cannot be restored</t>
  </si>
  <si>
    <t>R005</t>
  </si>
  <si>
    <t xml:space="preserve">Staff Email Accounts </t>
  </si>
  <si>
    <t xml:space="preserve">Phishing attacks </t>
  </si>
  <si>
    <t xml:space="preserve">Staff may be deceived by fraudulent emails or links </t>
  </si>
  <si>
    <t>R006</t>
  </si>
  <si>
    <t xml:space="preserve">Patient Information Handling Process </t>
  </si>
  <si>
    <t>Unauthorized disclosure of patient information</t>
  </si>
  <si>
    <t xml:space="preserve">Lack of clear confidentiality procedures and staff awareness </t>
  </si>
  <si>
    <t xml:space="preserve">Establish a patient data handliong policy, train staff on confidentiality, and restrict disclosure to auhorized recipients </t>
  </si>
  <si>
    <t>Maintain regular and secure backups and periodically restore data</t>
  </si>
  <si>
    <t>R007</t>
  </si>
  <si>
    <t>Security Policy Documentation</t>
  </si>
  <si>
    <t>Difficulty locating current security procedures</t>
  </si>
  <si>
    <t>Policies may not be stored in one clearly organized location</t>
  </si>
  <si>
    <t>Keep approved security policies in a central, access controlled location and review them periodiacally</t>
  </si>
  <si>
    <t>R009</t>
  </si>
  <si>
    <t xml:space="preserve">Staff User Accounts </t>
  </si>
  <si>
    <t xml:space="preserve">Staff accessing records beyond their job requirements </t>
  </si>
  <si>
    <t xml:space="preserve">Access permissions may not match staff roles </t>
  </si>
  <si>
    <t>Implement role based access controls (RBAC) and regularly review permissions</t>
  </si>
  <si>
    <t>R008</t>
  </si>
  <si>
    <t>Security Incidence Reporting Process</t>
  </si>
  <si>
    <t>Delayed reporting Process of a suspected security incident</t>
  </si>
  <si>
    <t xml:space="preserve">No clearly communicated incident reporting procedure </t>
  </si>
  <si>
    <t>Establish an incident reporing procedure, train staff and define escalation responsibilities.</t>
  </si>
  <si>
    <t>R010</t>
  </si>
  <si>
    <t xml:space="preserve">Data Protection Compliance Records </t>
  </si>
  <si>
    <t xml:space="preserve">Inability to demonstrate data protection compliance </t>
  </si>
  <si>
    <t>Incomplete records of policies, training, or compliance activities</t>
  </si>
  <si>
    <t>Train staff to identify phishing, implement email fitering and enable MFA</t>
  </si>
  <si>
    <t xml:space="preserve">Maintain organized compliance records, document staff training, and periodically review compliance evidence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</si>
</sst>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1" fillId="0" borderId="1" xfId="0" applyFont="1" applyBorder="1"/>
    <xf numFmtId="16" fontId="0" fillId="0" borderId="0" xfId="0" applyNumberFormat="1"/>
    <xf numFmtId="0" fontId="0" fillId="0" borderId="2" xfId="0" applyFill="1" applyBorder="1" applyAlignment="1">
      <alignment wrapText="1"/>
    </xf>
    <xf numFmtId="0" fontId="2" fillId="0" borderId="0" xfId="0" applyFont="1"/>
  </cellXfs>
  <cellStyles count="1">
    <cellStyle name="Normal" xfId="0" builtinId="0"/>
  </cellStyles>
  <dxfs count="36"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4"/>
  <sheetViews>
    <sheetView tabSelected="1" workbookViewId="0">
      <selection activeCell="I4" sqref="I4"/>
    </sheetView>
  </sheetViews>
  <sheetFormatPr defaultRowHeight="14.4" x14ac:dyDescent="0.3"/>
  <cols>
    <col min="2" max="2" width="13.77734375" customWidth="1"/>
    <col min="3" max="3" width="20.5546875" customWidth="1"/>
    <col min="4" max="4" width="20.21875" customWidth="1"/>
    <col min="5" max="5" width="9.33203125" customWidth="1"/>
    <col min="6" max="6" width="7.21875" customWidth="1"/>
    <col min="7" max="7" width="9" customWidth="1"/>
    <col min="8" max="8" width="9.5546875" customWidth="1"/>
    <col min="9" max="9" width="28.21875" customWidth="1"/>
  </cols>
  <sheetData>
    <row r="1" spans="1:18" ht="15.6" x14ac:dyDescent="0.3">
      <c r="A1" s="4" t="s">
        <v>0</v>
      </c>
      <c r="B1" s="4"/>
      <c r="C1" s="4"/>
      <c r="D1" s="2"/>
      <c r="E1" s="2"/>
      <c r="F1" s="2"/>
      <c r="H1" s="2"/>
      <c r="I1" s="2"/>
    </row>
    <row r="2" spans="1:18" ht="15.6" x14ac:dyDescent="0.3">
      <c r="A2" s="4" t="s">
        <v>1</v>
      </c>
      <c r="B2" s="4"/>
      <c r="C2" s="4"/>
      <c r="D2" s="2"/>
      <c r="E2" s="2"/>
      <c r="F2" s="2"/>
      <c r="G2" s="2"/>
      <c r="H2" s="2"/>
      <c r="I2" s="2"/>
    </row>
    <row r="3" spans="1:18" x14ac:dyDescent="0.3">
      <c r="A3" s="2"/>
      <c r="B3" s="2"/>
      <c r="C3" s="2"/>
      <c r="D3" s="2"/>
      <c r="E3" s="2"/>
      <c r="F3" s="2"/>
      <c r="G3" s="2"/>
      <c r="H3" s="2"/>
      <c r="I3" s="2"/>
    </row>
    <row r="4" spans="1:18" ht="28.8" x14ac:dyDescent="0.3">
      <c r="A4" s="3" t="s">
        <v>2</v>
      </c>
      <c r="B4" s="3" t="s">
        <v>3</v>
      </c>
      <c r="C4" s="3" t="s">
        <v>7</v>
      </c>
      <c r="D4" s="3" t="s">
        <v>8</v>
      </c>
      <c r="E4" s="3" t="s">
        <v>25</v>
      </c>
      <c r="F4" s="3" t="s">
        <v>24</v>
      </c>
      <c r="G4" s="3" t="s">
        <v>23</v>
      </c>
      <c r="H4" s="3" t="s">
        <v>22</v>
      </c>
      <c r="I4" s="3" t="s">
        <v>19</v>
      </c>
    </row>
    <row r="5" spans="1:18" s="1" customFormat="1" ht="27.6" customHeight="1" x14ac:dyDescent="0.3">
      <c r="A5" s="3" t="s">
        <v>4</v>
      </c>
      <c r="B5" s="3" t="s">
        <v>17</v>
      </c>
      <c r="C5" s="3" t="s">
        <v>14</v>
      </c>
      <c r="D5" s="3" t="s">
        <v>9</v>
      </c>
      <c r="E5" s="3">
        <v>4</v>
      </c>
      <c r="F5" s="3">
        <v>5</v>
      </c>
      <c r="G5" s="3">
        <f>E5*F5</f>
        <v>20</v>
      </c>
      <c r="H5" t="str">
        <f>IF(G6&lt;G5=5,Low, IF(G6&lt;=12, Medium, IF(G6&lt;=19,High,"Critical")))</f>
        <v>Critical</v>
      </c>
      <c r="I5" s="3" t="s">
        <v>18</v>
      </c>
    </row>
    <row r="6" spans="1:18" ht="45.6" customHeight="1" x14ac:dyDescent="0.3">
      <c r="A6" s="3" t="s">
        <v>5</v>
      </c>
      <c r="B6" s="3" t="s">
        <v>15</v>
      </c>
      <c r="C6" s="3" t="s">
        <v>13</v>
      </c>
      <c r="D6" s="3" t="s">
        <v>10</v>
      </c>
      <c r="E6" s="3">
        <v>4</v>
      </c>
      <c r="F6" s="3">
        <v>5</v>
      </c>
      <c r="G6" s="3">
        <f>E6*F6</f>
        <v>20</v>
      </c>
      <c r="H6" t="str">
        <f>IF(G6&lt;=5,Low, IF(G6&lt;=12, Medium, IF(G6&lt;=19,High,"Critical")))</f>
        <v>Critical</v>
      </c>
      <c r="I6" s="3" t="s">
        <v>20</v>
      </c>
      <c r="J6" s="1"/>
      <c r="K6" s="1"/>
      <c r="L6" s="1"/>
      <c r="M6" s="1"/>
      <c r="N6" s="1"/>
      <c r="O6" s="1"/>
      <c r="P6" s="1"/>
      <c r="Q6" s="1"/>
      <c r="R6" s="1"/>
    </row>
    <row r="7" spans="1:18" ht="44.4" customHeight="1" x14ac:dyDescent="0.3">
      <c r="A7" s="3" t="s">
        <v>6</v>
      </c>
      <c r="B7" s="3" t="s">
        <v>16</v>
      </c>
      <c r="C7" s="3" t="s">
        <v>12</v>
      </c>
      <c r="D7" s="3" t="s">
        <v>11</v>
      </c>
      <c r="E7" s="2">
        <v>3</v>
      </c>
      <c r="F7" s="2">
        <v>4</v>
      </c>
      <c r="G7" s="3">
        <f>E7*F7</f>
        <v>12</v>
      </c>
      <c r="H7" s="3" t="str">
        <f>IF(G7&lt;=5,"Low", IF(G7&lt;=12, "Medium", IF(G7&lt;=19,"High","Critical")))</f>
        <v>Medium</v>
      </c>
      <c r="I7" s="3" t="s">
        <v>21</v>
      </c>
    </row>
    <row r="8" spans="1:18" ht="43.2" x14ac:dyDescent="0.3">
      <c r="A8" s="6" t="s">
        <v>67</v>
      </c>
      <c r="B8" s="6" t="s">
        <v>68</v>
      </c>
      <c r="C8" s="6" t="s">
        <v>69</v>
      </c>
      <c r="D8" s="6" t="s">
        <v>70</v>
      </c>
      <c r="E8" s="6">
        <v>3</v>
      </c>
      <c r="F8" s="6">
        <v>5</v>
      </c>
      <c r="G8" s="6">
        <f>E8*F8</f>
        <v>15</v>
      </c>
      <c r="H8" s="3" t="str">
        <f>IF(G8&lt;=5,"Low", IF(G8&lt;=12, "Medium", IF(G8&lt;=19,"High","Critical")))</f>
        <v>High</v>
      </c>
      <c r="I8" s="6" t="s">
        <v>80</v>
      </c>
    </row>
    <row r="9" spans="1:18" ht="43.2" x14ac:dyDescent="0.3">
      <c r="A9" s="6" t="s">
        <v>71</v>
      </c>
      <c r="B9" s="6" t="s">
        <v>72</v>
      </c>
      <c r="C9" s="6" t="s">
        <v>73</v>
      </c>
      <c r="D9" s="6" t="s">
        <v>74</v>
      </c>
      <c r="E9" s="6">
        <v>3</v>
      </c>
      <c r="F9" s="6">
        <v>4</v>
      </c>
      <c r="G9" s="6">
        <f>E9*F9</f>
        <v>12</v>
      </c>
      <c r="H9" s="3" t="str">
        <f>IF(G9&lt;=5,"Low", IF(G9&lt;=12, "Medium", IF(G9&lt;=19,"High","Critical")))</f>
        <v>Medium</v>
      </c>
      <c r="I9" s="6" t="s">
        <v>100</v>
      </c>
    </row>
    <row r="10" spans="1:18" ht="62.4" customHeight="1" x14ac:dyDescent="0.3">
      <c r="A10" s="6" t="s">
        <v>75</v>
      </c>
      <c r="B10" s="6" t="s">
        <v>76</v>
      </c>
      <c r="C10" s="6" t="s">
        <v>77</v>
      </c>
      <c r="D10" s="6" t="s">
        <v>78</v>
      </c>
      <c r="E10" s="6">
        <v>3</v>
      </c>
      <c r="F10" s="6">
        <v>5</v>
      </c>
      <c r="G10" s="6">
        <f>E10*F10</f>
        <v>15</v>
      </c>
      <c r="H10" s="3" t="str">
        <f>IF(G10&lt;=5,"Low", IF(G10&lt;=12, "Medium", IF(G10&lt;=19,"High","Critical")))</f>
        <v>High</v>
      </c>
      <c r="I10" s="6" t="s">
        <v>79</v>
      </c>
    </row>
    <row r="11" spans="1:18" ht="57.6" x14ac:dyDescent="0.3">
      <c r="A11" s="6" t="s">
        <v>81</v>
      </c>
      <c r="B11" s="6" t="s">
        <v>82</v>
      </c>
      <c r="C11" s="6" t="s">
        <v>83</v>
      </c>
      <c r="D11" s="6" t="s">
        <v>84</v>
      </c>
      <c r="E11" s="6">
        <v>2</v>
      </c>
      <c r="F11" s="6">
        <v>2</v>
      </c>
      <c r="G11" s="6">
        <f>E11*F11</f>
        <v>4</v>
      </c>
      <c r="H11" s="6" t="str">
        <f>IF(G11&lt;=5,"Low", IF(G11&lt;=12, "Medium", IF(G11&lt;=19,"High","Critical")))</f>
        <v>Low</v>
      </c>
      <c r="I11" s="6" t="s">
        <v>85</v>
      </c>
    </row>
    <row r="12" spans="1:18" ht="43.2" x14ac:dyDescent="0.3">
      <c r="A12" s="6" t="s">
        <v>91</v>
      </c>
      <c r="B12" s="6" t="s">
        <v>87</v>
      </c>
      <c r="C12" s="6" t="s">
        <v>88</v>
      </c>
      <c r="D12" s="6" t="s">
        <v>89</v>
      </c>
      <c r="E12" s="6">
        <v>3</v>
      </c>
      <c r="F12" s="6">
        <v>4</v>
      </c>
      <c r="G12" s="6">
        <f>E12*F12</f>
        <v>12</v>
      </c>
      <c r="H12" s="6" t="str">
        <f>IF(G12&lt;=5,"Low", IF(G12&lt;=12, "Medium", IF(G12&lt;=19,"High","Critical")))</f>
        <v>Medium</v>
      </c>
      <c r="I12" s="6" t="s">
        <v>90</v>
      </c>
    </row>
    <row r="13" spans="1:18" ht="57.6" x14ac:dyDescent="0.3">
      <c r="A13" s="6" t="s">
        <v>86</v>
      </c>
      <c r="B13" s="6" t="s">
        <v>92</v>
      </c>
      <c r="C13" s="6" t="s">
        <v>93</v>
      </c>
      <c r="D13" s="6" t="s">
        <v>94</v>
      </c>
      <c r="E13" s="6">
        <v>3</v>
      </c>
      <c r="F13" s="6">
        <v>4</v>
      </c>
      <c r="G13" s="6">
        <f>E13*F13</f>
        <v>12</v>
      </c>
      <c r="H13" s="6" t="str">
        <f>IF(G13&lt;=5,"Low", IF(G13&lt;=12, "Medium", IF(G13&lt;=19,"High","Critical")))</f>
        <v>Medium</v>
      </c>
      <c r="I13" s="6" t="s">
        <v>95</v>
      </c>
    </row>
    <row r="14" spans="1:18" ht="57.6" x14ac:dyDescent="0.3">
      <c r="A14" s="6" t="s">
        <v>96</v>
      </c>
      <c r="B14" s="6" t="s">
        <v>97</v>
      </c>
      <c r="C14" s="6" t="s">
        <v>98</v>
      </c>
      <c r="D14" s="6" t="s">
        <v>99</v>
      </c>
      <c r="E14" s="6">
        <v>2</v>
      </c>
      <c r="F14" s="6">
        <v>3</v>
      </c>
      <c r="G14" s="6">
        <f>E14*F14</f>
        <v>6</v>
      </c>
      <c r="H14" s="6" t="str">
        <f>IF(G14&lt;=5,"Low", IF(G14&lt;=12, "Medium", IF(G14&lt;=19,"High","Critical")))</f>
        <v>Medium</v>
      </c>
      <c r="I14" s="6" t="s">
        <v>101</v>
      </c>
    </row>
  </sheetData>
  <conditionalFormatting sqref="H5:H100">
    <cfRule type="containsText" dxfId="7" priority="1" operator="containsText" text="Critical">
      <formula>NOT(ISERROR(SEARCH("Critical",H5)))</formula>
    </cfRule>
    <cfRule type="containsText" dxfId="6" priority="2" operator="containsText" text="High">
      <formula>NOT(ISERROR(SEARCH("High",H5)))</formula>
    </cfRule>
    <cfRule type="containsText" dxfId="5" priority="3" operator="containsText" text="Medium">
      <formula>NOT(ISERROR(SEARCH("Medium",H5)))</formula>
    </cfRule>
    <cfRule type="containsText" dxfId="4" priority="4" operator="containsText" text="Low">
      <formula>NOT(ISERROR(SEARCH("Low",H5)))</formula>
    </cfRule>
    <cfRule type="cellIs" dxfId="3" priority="5" operator="between">
      <formula>20</formula>
      <formula>25</formula>
    </cfRule>
    <cfRule type="cellIs" dxfId="2" priority="6" operator="between">
      <formula>13</formula>
      <formula>19</formula>
    </cfRule>
    <cfRule type="cellIs" dxfId="1" priority="7" operator="between">
      <formula>6</formula>
      <formula>12</formula>
    </cfRule>
    <cfRule type="cellIs" dxfId="0" priority="8" operator="between">
      <formula>1</formula>
      <formula>5</formula>
    </cfRule>
  </conditionalFormatting>
  <pageMargins left="0.7" right="0.7" top="0.75" bottom="0.75" header="0.3" footer="0.3"/>
  <pageSetup scale="9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>
      <selection activeCell="B9" sqref="B9"/>
    </sheetView>
  </sheetViews>
  <sheetFormatPr defaultRowHeight="14.4" x14ac:dyDescent="0.3"/>
  <cols>
    <col min="1" max="1" width="19" customWidth="1"/>
    <col min="2" max="2" width="51.21875" customWidth="1"/>
    <col min="3" max="3" width="43.5546875" customWidth="1"/>
  </cols>
  <sheetData>
    <row r="1" spans="1:3" x14ac:dyDescent="0.3">
      <c r="A1" s="7" t="s">
        <v>26</v>
      </c>
    </row>
    <row r="2" spans="1:3" x14ac:dyDescent="0.3">
      <c r="A2" s="7" t="s">
        <v>27</v>
      </c>
    </row>
    <row r="4" spans="1:3" x14ac:dyDescent="0.3">
      <c r="A4" t="s">
        <v>28</v>
      </c>
      <c r="B4" t="s">
        <v>25</v>
      </c>
      <c r="C4" t="s">
        <v>24</v>
      </c>
    </row>
    <row r="5" spans="1:3" x14ac:dyDescent="0.3">
      <c r="A5">
        <v>1</v>
      </c>
      <c r="B5" t="s">
        <v>29</v>
      </c>
      <c r="C5" t="s">
        <v>34</v>
      </c>
    </row>
    <row r="6" spans="1:3" x14ac:dyDescent="0.3">
      <c r="A6">
        <v>2</v>
      </c>
      <c r="B6" t="s">
        <v>30</v>
      </c>
      <c r="C6" t="s">
        <v>35</v>
      </c>
    </row>
    <row r="7" spans="1:3" x14ac:dyDescent="0.3">
      <c r="A7">
        <v>3</v>
      </c>
      <c r="B7" t="s">
        <v>31</v>
      </c>
      <c r="C7" t="s">
        <v>36</v>
      </c>
    </row>
    <row r="8" spans="1:3" x14ac:dyDescent="0.3">
      <c r="A8">
        <v>4</v>
      </c>
      <c r="B8" t="s">
        <v>32</v>
      </c>
      <c r="C8" t="s">
        <v>37</v>
      </c>
    </row>
    <row r="9" spans="1:3" ht="18" customHeight="1" x14ac:dyDescent="0.3">
      <c r="A9">
        <v>5</v>
      </c>
      <c r="B9" t="s">
        <v>33</v>
      </c>
      <c r="C9" t="s">
        <v>38</v>
      </c>
    </row>
    <row r="12" spans="1:3" x14ac:dyDescent="0.3">
      <c r="A12" s="7" t="s">
        <v>39</v>
      </c>
    </row>
    <row r="14" spans="1:3" x14ac:dyDescent="0.3">
      <c r="A14" t="s">
        <v>23</v>
      </c>
      <c r="B14" t="s">
        <v>22</v>
      </c>
    </row>
    <row r="15" spans="1:3" x14ac:dyDescent="0.3">
      <c r="A15" s="5" t="s">
        <v>40</v>
      </c>
      <c r="B15" t="s">
        <v>41</v>
      </c>
    </row>
    <row r="16" spans="1:3" x14ac:dyDescent="0.3">
      <c r="A16" t="s">
        <v>42</v>
      </c>
      <c r="B16" t="s">
        <v>43</v>
      </c>
    </row>
    <row r="17" spans="1:8" x14ac:dyDescent="0.3">
      <c r="A17" t="s">
        <v>44</v>
      </c>
      <c r="B17" t="s">
        <v>45</v>
      </c>
    </row>
    <row r="18" spans="1:8" x14ac:dyDescent="0.3">
      <c r="A18" t="s">
        <v>46</v>
      </c>
      <c r="B18" t="s">
        <v>47</v>
      </c>
    </row>
    <row r="20" spans="1:8" x14ac:dyDescent="0.3">
      <c r="A20" t="s">
        <v>49</v>
      </c>
    </row>
    <row r="21" spans="1:8" x14ac:dyDescent="0.3">
      <c r="A21" t="s">
        <v>48</v>
      </c>
    </row>
    <row r="23" spans="1:8" x14ac:dyDescent="0.3">
      <c r="A23" s="7" t="s">
        <v>50</v>
      </c>
    </row>
    <row r="25" spans="1:8" ht="26.4" customHeight="1" x14ac:dyDescent="0.3">
      <c r="A25" t="s">
        <v>51</v>
      </c>
      <c r="B25" s="1" t="s">
        <v>52</v>
      </c>
      <c r="C25" s="1"/>
      <c r="D25" s="1"/>
      <c r="E25" s="1"/>
      <c r="F25" s="1"/>
      <c r="G25" s="1"/>
      <c r="H25" s="1"/>
    </row>
    <row r="26" spans="1:8" x14ac:dyDescent="0.3">
      <c r="A26" t="s">
        <v>53</v>
      </c>
      <c r="B26" s="1" t="s">
        <v>54</v>
      </c>
      <c r="C26" s="1"/>
      <c r="D26" s="1"/>
      <c r="E26" s="1"/>
      <c r="F26" s="1"/>
      <c r="G26" s="1"/>
      <c r="H26" s="1"/>
    </row>
    <row r="27" spans="1:8" x14ac:dyDescent="0.3">
      <c r="A27" t="s">
        <v>55</v>
      </c>
      <c r="B27" s="1" t="s">
        <v>56</v>
      </c>
      <c r="C27" s="1"/>
      <c r="D27" s="1"/>
      <c r="E27" s="1"/>
      <c r="F27" s="1"/>
      <c r="G27" s="1"/>
      <c r="H27" s="1"/>
    </row>
    <row r="28" spans="1:8" ht="27.6" customHeight="1" x14ac:dyDescent="0.3">
      <c r="A28" t="s">
        <v>57</v>
      </c>
      <c r="B28" s="1" t="s">
        <v>58</v>
      </c>
      <c r="C28" s="1"/>
      <c r="D28" s="1"/>
      <c r="E28" s="1"/>
      <c r="F28" s="1"/>
      <c r="G28" s="1"/>
      <c r="H28" s="1"/>
    </row>
    <row r="29" spans="1:8" ht="16.2" customHeight="1" x14ac:dyDescent="0.3">
      <c r="A29" t="s">
        <v>65</v>
      </c>
      <c r="B29" s="1" t="s">
        <v>66</v>
      </c>
      <c r="C29" s="1"/>
      <c r="D29" s="1"/>
      <c r="E29" s="1"/>
      <c r="F29" s="1"/>
      <c r="G29" s="1"/>
      <c r="H29" s="1"/>
    </row>
    <row r="30" spans="1:8" ht="28.8" customHeight="1" x14ac:dyDescent="0.3">
      <c r="A30" t="s">
        <v>59</v>
      </c>
      <c r="B30" s="1" t="s">
        <v>60</v>
      </c>
      <c r="C30" s="1"/>
      <c r="D30" s="1"/>
      <c r="E30" s="1"/>
      <c r="F30" s="1"/>
      <c r="G30" s="1"/>
      <c r="H30" s="1"/>
    </row>
    <row r="31" spans="1:8" ht="20.399999999999999" customHeight="1" x14ac:dyDescent="0.3">
      <c r="A31" t="s">
        <v>61</v>
      </c>
      <c r="B31" s="1" t="s">
        <v>62</v>
      </c>
      <c r="C31" s="1"/>
      <c r="D31" s="1"/>
      <c r="E31" s="1"/>
      <c r="F31" s="1"/>
      <c r="G31" s="1"/>
      <c r="H31" s="1"/>
    </row>
    <row r="32" spans="1:8" ht="28.8" x14ac:dyDescent="0.3">
      <c r="A32" t="s">
        <v>63</v>
      </c>
      <c r="B32" s="1" t="s">
        <v>64</v>
      </c>
      <c r="C32" s="1"/>
      <c r="D32" s="1"/>
      <c r="E32" s="1"/>
      <c r="F32" s="1"/>
      <c r="G32" s="1"/>
      <c r="H3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MEDICAL CENTRE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MACHINE</dc:creator>
  <cp:lastModifiedBy>MACHINE</cp:lastModifiedBy>
  <cp:lastPrinted>2026-10-11T15:14:27Z</cp:lastPrinted>
  <dcterms:created xsi:type="dcterms:W3CDTF">2026-10-11T14:08:57Z</dcterms:created>
  <dcterms:modified xsi:type="dcterms:W3CDTF">2026-10-12T11:20:25Z</dcterms:modified>
</cp:coreProperties>
</file>